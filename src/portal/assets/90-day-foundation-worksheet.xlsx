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acf1833f9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0-Day Foundation" sheetId="1" r:id="R87f5efdb6e02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8">
    <x:font>
      <x:sz val="11"/>
      <x:name val="Carlito"/>
    </x:font>
    <x:font>
      <x:b/>
      <x:sz val="22"/>
      <x:color rgb="FF111827"/>
      <x:name val="Carlito"/>
    </x:font>
    <x:font>
      <x:sz val="11"/>
      <x:color rgb="FF6B7280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  <x:font>
      <x:sz val="11"/>
      <x:color rgb="FF111827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7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8FBFF"/>
      </x:patternFill>
    </x:fill>
    <x:fill>
      <x:patternFill patternType="solid">
        <x:fgColor rgb="FFFFFDF7"/>
      </x:patternFill>
    </x:fill>
  </x:fills>
  <x:borders count="14">
    <x:border/>
    <x:border>
      <x:right style="thin">
        <x:color rgb="FFD8E4EF"/>
      </x:right>
      <x:bottom style="thin">
        <x:color rgb="FFD8E4EF"/>
      </x:bottom>
    </x:border>
    <x:border>
      <x:left style="thin">
        <x:color rgb="FFD8E4EF"/>
      </x:left>
      <x:right style="thin">
        <x:color rgb="FFD8E4EF"/>
      </x:right>
      <x:bottom style="thin">
        <x:color rgb="FFD8E4EF"/>
      </x:bottom>
    </x:border>
    <x:border>
      <x:left style="thin">
        <x:color rgb="FFD8E4EF"/>
      </x:left>
      <x:bottom style="thin">
        <x:color rgb="FFD8E4EF"/>
      </x:bottom>
    </x:border>
    <x:border>
      <x:right style="thin">
        <x:color rgb="FFD8E4EF"/>
      </x:right>
      <x:top style="thin">
        <x:color rgb="FFD8E4EF"/>
      </x:top>
      <x:bottom style="thin">
        <x:color rgb="FFD8E4EF"/>
      </x:bottom>
    </x:border>
    <x:border>
      <x:left style="thin">
        <x:color rgb="FFD8E4EF"/>
      </x:left>
      <x:right style="thin">
        <x:color rgb="FFD8E4EF"/>
      </x:right>
      <x:top style="thin">
        <x:color rgb="FFD8E4EF"/>
      </x:top>
      <x:bottom style="thin">
        <x:color rgb="FFD8E4EF"/>
      </x:bottom>
    </x:border>
    <x:border>
      <x:left style="thin">
        <x:color rgb="FFD8E4EF"/>
      </x:left>
      <x:top style="thin">
        <x:color rgb="FFD8E4EF"/>
      </x:top>
      <x:bottom style="thin">
        <x:color rgb="FFD8E4EF"/>
      </x:bottom>
    </x:border>
    <x:border>
      <x:right style="thin">
        <x:color rgb="FFD8E4EF"/>
      </x:right>
      <x:top style="thin">
        <x:color rgb="FFD8E4EF"/>
      </x:top>
    </x:border>
    <x:border>
      <x:left style="thin">
        <x:color rgb="FFD8E4EF"/>
      </x:left>
      <x:right style="thin">
        <x:color rgb="FFD8E4EF"/>
      </x:right>
      <x:top style="thin">
        <x:color rgb="FFD8E4EF"/>
      </x:top>
    </x:border>
    <x:border>
      <x:left style="thin">
        <x:color rgb="FFD8E4EF"/>
      </x:left>
      <x:top style="thin">
        <x:color rgb="FFD8E4EF"/>
      </x:top>
    </x:border>
    <x:border>
      <x:left style="thin">
        <x:color rgb="FFD8E4EF"/>
      </x:left>
    </x:border>
    <x:border>
      <x:right style="thin">
        <x:color rgb="FFD8E4EF"/>
      </x:right>
    </x:border>
    <x:border>
      <x:top style="thin">
        <x:color rgb="FFD8E4EF"/>
      </x:top>
    </x:border>
    <x:border>
      <x:bottom style="thin">
        <x:color rgb="FFD8E4EF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4" borderId="5" xfId="0" applyNumberFormat="1" applyFont="1" applyFill="1" applyBorder="1" applyAlignment="1">
      <x:alignment vertical="top" wrapText="1"/>
    </x:xf>
    <x:xf numFmtId="200" fontId="4" fillId="4" borderId="8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9" xfId="0" applyNumberFormat="1" applyFont="1" applyFill="1" applyBorder="1"/>
    <x:xf numFmtId="0" fontId="6" fillId="5" borderId="7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/>
    <x:xf numFmtId="0" fontId="6" fillId="5" borderId="9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200" fontId="4" fillId="6" borderId="2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200" fontId="4" fillId="6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3" fillId="3" borderId="10" xfId="0" applyNumberFormat="1" applyFont="1" applyFill="1" applyBorder="1" applyAlignment="1">
      <x:alignment horizontal="center"/>
    </x:xf>
    <x:xf numFmtId="0" fontId="3" fillId="3" borderId="1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horizontal="center" vertical="center"/>
    </x:xf>
    <x:xf numFmtId="0" fontId="7" fillId="3" borderId="13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c7676b7e04093" /><Relationship Type="http://schemas.openxmlformats.org/officeDocument/2006/relationships/theme" Target="/xl/theme/theme1.xml" Id="Ra62e7897f11d4e87" /><Relationship Type="http://schemas.openxmlformats.org/officeDocument/2006/relationships/sharedStrings" Target="/xl/sharedStrings.xml" Id="R2597f64ea59c4541" /><Relationship Type="http://schemas.openxmlformats.org/officeDocument/2006/relationships/worksheet" Target="/xl/worksheets/sheet1.xml" Id="R87f5efdb6e02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  <x:col min="6" max="6" width="18" hidden="0" customWidth="1"/>
  </x:cols>
  <x:sheetData>
    <x:row r="1" ht="44" customHeight="1">
      <x:c r="A1" s="3" t="str">
        <x:v>90-Day Foundation Worksheet</x:v>
      </x:c>
      <x:c r="B1" s="3"/>
      <x:c r="C1" s="3"/>
      <x:c r="D1" s="3"/>
      <x:c r="E1" s="3"/>
      <x:c r="F1" s="3"/>
    </x:row>
    <x:row r="2" ht="34" customHeight="1">
      <x:c r="A2" s="6" t="str">
        <x:v>Write the real numbers down once. The goal is 90 days where survival is covered, decisions are reduced, and your energy can go into building.</x:v>
      </x:c>
      <x:c r="B2" s="6"/>
      <x:c r="C2" s="6"/>
      <x:c r="D2" s="6"/>
      <x:c r="E2" s="6"/>
      <x:c r="F2" s="6"/>
    </x:row>
    <x:row r="4" ht="32" customHeight="1">
      <x:c r="A4" s="107" t="str">
        <x:v>Category</x:v>
      </x:c>
      <x:c r="B4" s="108" t="str">
        <x:v>Monthly Cost</x:v>
      </x:c>
      <x:c r="C4" s="108" t="str">
        <x:v>90-Day Cost</x:v>
      </x:c>
      <x:c r="D4" s="108" t="str">
        <x:v>Already Covered</x:v>
      </x:c>
      <x:c r="E4" s="108" t="str">
        <x:v>Notes / What is included</x:v>
      </x:c>
      <x:c r="F4" s="109" t="str">
        <x:v>Status</x:v>
      </x:c>
    </x:row>
    <x:row r="5">
      <x:c r="A5" s="110" t="str">
        <x:v>Housing</x:v>
      </x:c>
      <x:c r="B5" s="104"/>
      <x:c r="C5" s="104" t="n">
        <x:f>B5*3</x:f>
        <x:v>0</x:v>
      </x:c>
      <x:c r="D5" s="104"/>
      <x:c r="E5" s="33" t="str">
        <x:v>Rent or mortgage, utilities, electricity, heating, water, required home insurance.</x:v>
      </x:c>
      <x:c r="F5" s="33" t="str">
        <x:f>IF(C5="","",IF(D5&gt;=C5,"Covered","Open"))</x:f>
      </x:c>
    </x:row>
    <x:row r="6">
      <x:c r="A6" s="111" t="str">
        <x:v>Food and Water</x:v>
      </x:c>
      <x:c r="B6" s="105"/>
      <x:c r="C6" s="105" t="n">
        <x:f>B6*3</x:f>
        <x:v>0</x:v>
      </x:c>
      <x:c r="D6" s="105"/>
      <x:c r="E6" s="36" t="str">
        <x:v>Groceries and drinking water. No delivery food, restaurants, or impulse spending.</x:v>
      </x:c>
      <x:c r="F6" s="36" t="str">
        <x:f>IF(C6="","",IF(D6&gt;=C6,"Covered","Open"))</x:f>
      </x:c>
    </x:row>
    <x:row r="7">
      <x:c r="A7" s="111" t="str">
        <x:v>Health</x:v>
      </x:c>
      <x:c r="B7" s="105"/>
      <x:c r="C7" s="105" t="n">
        <x:f>B7*3</x:f>
        <x:v>0</x:v>
      </x:c>
      <x:c r="D7" s="105"/>
      <x:c r="E7" s="36" t="str">
        <x:v>Health insurance, essential medication, hygiene, small medical emergency buffer.</x:v>
      </x:c>
      <x:c r="F7" s="36" t="str">
        <x:f>IF(C7="","",IF(D7&gt;=C7,"Covered","Open"))</x:f>
      </x:c>
    </x:row>
    <x:row r="8">
      <x:c r="A8" s="111" t="str">
        <x:v>Reliable Communication</x:v>
      </x:c>
      <x:c r="B8" s="105"/>
      <x:c r="C8" s="105" t="n">
        <x:f>B8*3</x:f>
        <x:v>0</x:v>
      </x:c>
      <x:c r="D8" s="105"/>
      <x:c r="E8" s="36" t="str">
        <x:v>Phone, internet, Wi-Fi, backup internet only if business would stop without it.</x:v>
      </x:c>
      <x:c r="F8" s="36" t="str">
        <x:f>IF(C8="","",IF(D8&gt;=C8,"Covered","Open"))</x:f>
      </x:c>
    </x:row>
    <x:row r="9">
      <x:c r="A9" s="111" t="str">
        <x:v>Core Business Systems</x:v>
      </x:c>
      <x:c r="B9" s="105"/>
      <x:c r="C9" s="105" t="n">
        <x:f>B9*3</x:f>
        <x:v>0</x:v>
      </x:c>
      <x:c r="D9" s="105"/>
      <x:c r="E9" s="36" t="str">
        <x:v>Domain, hosting, email, payment providers, CRM, essential AI/tools, accounting if needed.</x:v>
      </x:c>
      <x:c r="F9" s="36" t="str">
        <x:f>IF(C9="","",IF(D9&gt;=C9,"Covered","Open"))</x:f>
      </x:c>
    </x:row>
    <x:row r="10">
      <x:c r="A10" s="111" t="str">
        <x:v>Mobility</x:v>
      </x:c>
      <x:c r="B10" s="105"/>
      <x:c r="C10" s="105" t="n">
        <x:f>B10*3</x:f>
        <x:v>0</x:v>
      </x:c>
      <x:c r="D10" s="105"/>
      <x:c r="E10" s="36" t="str">
        <x:v>Fuel, insurance, leasing/loan, tolls, required maintenance only if genuinely necessary.</x:v>
      </x:c>
      <x:c r="F10" s="36" t="str">
        <x:f>IF(C10="","",IF(D10&gt;=C10,"Covered","Open"))</x:f>
      </x:c>
    </x:row>
    <x:row r="11">
      <x:c r="A11" s="112" t="str">
        <x:v>Emergency Reserve</x:v>
      </x:c>
      <x:c r="B11" s="106"/>
      <x:c r="C11" s="106" t="n">
        <x:f>SUM(C5:C10)*0.15</x:f>
        <x:v>0</x:v>
      </x:c>
      <x:c r="D11" s="106"/>
      <x:c r="E11" s="39" t="str">
        <x:v>10-15% buffer for repairs, unexpected bills, medication, or technical failures.</x:v>
      </x:c>
      <x:c r="F11" s="39" t="str">
        <x:f>IF(C11="","",IF(D11&gt;=C11,"Covered","Open"))</x:f>
      </x:c>
    </x:row>
    <x:row r="12">
      <x:c r="A12" s="113"/>
      <x:c r="B12" s="114"/>
      <x:c r="C12" s="114"/>
      <x:c r="D12" s="114"/>
      <x:c r="E12" s="114"/>
      <x:c r="F12" s="115"/>
    </x:row>
    <x:row r="13">
      <x:c r="A13" s="116" t="str">
        <x:v>Summary</x:v>
      </x:c>
      <x:c r="B13" s="47" t="str">
        <x:v>Value</x:v>
      </x:c>
      <x:c r="C13" s="47" t="str">
        <x:v>Meaning</x:v>
      </x:c>
      <x:c r="D13" s="114"/>
      <x:c r="E13" s="47" t="str">
        <x:v>Operating Rule</x:v>
      </x:c>
      <x:c r="F13" s="117"/>
    </x:row>
    <x:row r="14">
      <x:c r="A14" s="118" t="str">
        <x:v>Total 90-Day Foundation</x:v>
      </x:c>
      <x:c r="B14" s="80" t="n">
        <x:f>SUM(C5:C11)</x:f>
        <x:v>0</x:v>
      </x:c>
      <x:c r="C14" s="70" t="str">
        <x:v>The full amount needed to remove survival pressure.</x:v>
      </x:c>
      <x:c r="D14" s="114"/>
      <x:c r="E14" s="95" t="str">
        <x:v>A cost stays only if it keeps you alive, keeps your home stable, keeps you healthy, keeps you online, creates or protects revenue, or prevents a legal or financial problem. Everything else gets cancelled, paused, or frozen for 90 days.</x:v>
      </x:c>
      <x:c r="F14" s="96"/>
    </x:row>
    <x:row r="15">
      <x:c r="A15" s="119" t="str">
        <x:v>Current Cash Available</x:v>
      </x:c>
      <x:c r="B15" s="105"/>
      <x:c r="C15" s="73" t="str">
        <x:v>Cash that can be used for this foundation now.</x:v>
      </x:c>
      <x:c r="D15" s="114"/>
      <x:c r="E15" s="97"/>
      <x:c r="F15" s="98"/>
    </x:row>
    <x:row r="16">
      <x:c r="A16" s="119" t="str">
        <x:v>Foundation Gap</x:v>
      </x:c>
      <x:c r="B16" s="81" t="n">
        <x:f>MAX(B14-B15,0)</x:f>
        <x:v>0</x:v>
      </x:c>
      <x:c r="C16" s="73" t="str">
        <x:v>The exact amount still missing.</x:v>
      </x:c>
      <x:c r="D16" s="114"/>
      <x:c r="E16" s="97"/>
      <x:c r="F16" s="98"/>
    </x:row>
    <x:row r="17">
      <x:c r="A17" s="119" t="str">
        <x:v>Weekly Gap Target</x:v>
      </x:c>
      <x:c r="B17" s="81" t="n">
        <x:f>B16/12</x:f>
        <x:v>0</x:v>
      </x:c>
      <x:c r="C17" s="73" t="str">
        <x:v>Gap divided across 12 weeks.</x:v>
      </x:c>
      <x:c r="D17" s="114"/>
      <x:c r="E17" s="97"/>
      <x:c r="F17" s="98"/>
    </x:row>
    <x:row r="18">
      <x:c r="A18" s="120" t="str">
        <x:v>First Action</x:v>
      </x:c>
      <x:c r="B18" s="75" t="str">
        <x:v>Cancel, pause, earn, or collect one thing that protects the foundation.</x:v>
      </x:c>
      <x:c r="C18" s="76" t="str">
        <x:v>One concrete move to close or protect the gap.</x:v>
      </x:c>
      <x:c r="D18" s="114"/>
      <x:c r="E18" s="97"/>
      <x:c r="F18" s="98"/>
    </x:row>
    <x:row r="19">
      <x:c r="A19" s="113"/>
      <x:c r="B19" s="114"/>
      <x:c r="C19" s="114"/>
      <x:c r="D19" s="114"/>
      <x:c r="E19" s="99"/>
      <x:c r="F19" s="100"/>
    </x:row>
    <x:row r="20">
      <x:c r="A20" s="113"/>
      <x:c r="B20" s="114"/>
      <x:c r="C20" s="114"/>
      <x:c r="D20" s="114"/>
      <x:c r="E20" s="114"/>
      <x:c r="F20" s="115"/>
    </x:row>
    <x:row r="21" ht="32" customHeight="1">
      <x:c r="A21" s="121" t="str">
        <x:v>Every second you spend fighting for survival is a second your mind cannot fully think about your business.</x:v>
      </x:c>
      <x:c r="B21" s="122"/>
      <x:c r="C21" s="122"/>
      <x:c r="D21" s="122"/>
      <x:c r="E21" s="122"/>
      <x:c r="F21" s="123"/>
    </x:row>
  </x:sheetData>
  <x:mergeCells>
    <x:mergeCell ref="A1:F1"/>
    <x:mergeCell ref="A2:F2"/>
    <x:mergeCell ref="E13:F13"/>
    <x:mergeCell ref="E14:F19"/>
    <x:mergeCell ref="A21:F21"/>
  </x:mergeCells>
  <x:pageMargins left="0.7" right="0.7" top="0.75" bottom="0.75" header="0.3" footer="0.3"/>
</x:worksheet>
</file>